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itvargaslopez/Downloads/"/>
    </mc:Choice>
  </mc:AlternateContent>
  <xr:revisionPtr revIDLastSave="0" documentId="13_ncr:1_{24EFB3B9-418B-3748-BE2D-567F96E2C89C}" xr6:coauthVersionLast="47" xr6:coauthVersionMax="47" xr10:uidLastSave="{00000000-0000-0000-0000-000000000000}"/>
  <bookViews>
    <workbookView xWindow="1240" yWindow="880" windowWidth="28040" windowHeight="17440" xr2:uid="{672FEE7C-9A69-614A-91AC-9E2844C1298E}"/>
  </bookViews>
  <sheets>
    <sheet name="Fi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E15" i="1"/>
  <c r="B14" i="1"/>
  <c r="B13" i="1"/>
  <c r="C8" i="1"/>
  <c r="E5" i="1"/>
  <c r="E4" i="1"/>
  <c r="E14" i="1" s="1"/>
  <c r="E3" i="1"/>
  <c r="D8" i="1" s="1"/>
  <c r="D5" i="1"/>
  <c r="D10" i="1" s="1"/>
  <c r="C5" i="1"/>
  <c r="C14" i="1" s="1"/>
  <c r="B5" i="1"/>
  <c r="B15" i="1" s="1"/>
  <c r="B8" i="1" l="1"/>
  <c r="C15" i="1"/>
  <c r="C9" i="1"/>
  <c r="C19" i="1" s="1"/>
  <c r="D14" i="1"/>
  <c r="D15" i="1"/>
  <c r="C13" i="1"/>
  <c r="D13" i="1"/>
  <c r="E13" i="1"/>
  <c r="B9" i="1"/>
  <c r="D9" i="1"/>
  <c r="D19" i="1" s="1"/>
  <c r="E8" i="1"/>
  <c r="B10" i="1"/>
  <c r="E9" i="1"/>
  <c r="E10" i="1" l="1"/>
  <c r="B19" i="1"/>
  <c r="E19" i="1" s="1"/>
  <c r="C21" i="1" l="1"/>
  <c r="C22" i="1"/>
  <c r="D26" i="1" l="1"/>
  <c r="C27" i="1"/>
</calcChain>
</file>

<file path=xl/sharedStrings.xml><?xml version="1.0" encoding="utf-8"?>
<sst xmlns="http://schemas.openxmlformats.org/spreadsheetml/2006/main" count="60" uniqueCount="29">
  <si>
    <t>Producto A</t>
  </si>
  <si>
    <t>Producto B</t>
  </si>
  <si>
    <t>Producto C</t>
  </si>
  <si>
    <t>Hombre</t>
  </si>
  <si>
    <t>Mujer</t>
  </si>
  <si>
    <t>TOTAL</t>
  </si>
  <si>
    <t>Paso 1. Tabla original</t>
  </si>
  <si>
    <t>Paso 2. Perfiles de fila</t>
  </si>
  <si>
    <t>Paso 3. Pesos de columnas</t>
  </si>
  <si>
    <t>Paso 4. Fórmula distancia χ²</t>
  </si>
  <si>
    <t>A</t>
  </si>
  <si>
    <t>B</t>
  </si>
  <si>
    <t>C</t>
  </si>
  <si>
    <t>d</t>
  </si>
  <si>
    <t>d^2</t>
  </si>
  <si>
    <t>H</t>
  </si>
  <si>
    <t>M</t>
  </si>
  <si>
    <t>J</t>
  </si>
  <si>
    <t>0.74</t>
  </si>
  <si>
    <t>0.33</t>
  </si>
  <si>
    <t>1.02</t>
  </si>
  <si>
    <t>0.51</t>
  </si>
  <si>
    <t>0.88</t>
  </si>
  <si>
    <t>0.42</t>
  </si>
  <si>
    <t>FILAS</t>
  </si>
  <si>
    <t>0.738</t>
  </si>
  <si>
    <t>0.77</t>
  </si>
  <si>
    <t>0.03</t>
  </si>
  <si>
    <t>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</si>
</sst>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9" fontId="0" fillId="2" borderId="0" xfId="2" applyFont="1" applyFill="1"/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43" fontId="0" fillId="2" borderId="0" xfId="0" applyNumberFormat="1" applyFill="1" applyAlignment="1">
      <alignment horizontal="center"/>
    </xf>
    <xf numFmtId="0" fontId="5" fillId="2" borderId="0" xfId="0" applyFont="1" applyFill="1"/>
    <xf numFmtId="43" fontId="5" fillId="2" borderId="0" xfId="0" applyNumberFormat="1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477520</xdr:colOff>
      <xdr:row>17</xdr:row>
      <xdr:rowOff>30480</xdr:rowOff>
    </xdr:from>
    <xdr:to>
      <xdr:col>10</xdr:col>
      <xdr:colOff>149856</xdr:colOff>
      <xdr:row>21</xdr:row>
      <xdr:rowOff>71119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323FF2-5726-A6F0-1612-579121E9F8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634" t="48569" r="69804" b="43994"/>
        <a:stretch>
          <a:fillRect/>
        </a:stretch>
      </xdr:blipFill>
      <xdr:spPr>
        <a:xfrm>
          <a:off x="4592320" y="3606800"/>
          <a:ext cx="3787136" cy="853439"/>
        </a:xfrm>
        <a:prstGeom prst="rect">
          <a:avLst/>
        </a:prstGeom>
      </xdr:spPr>
    </xdr:pic>
    <xdr:clientData/>
  </xdr:twoCellAnchor>
  <xdr:twoCellAnchor editAs="oneCell">
    <xdr:from>
      <xdr:col>10</xdr:col>
      <xdr:colOff>695476</xdr:colOff>
      <xdr:row>8</xdr:row>
      <xdr:rowOff>191508</xdr:rowOff>
    </xdr:from>
    <xdr:to>
      <xdr:col>13</xdr:col>
      <xdr:colOff>423334</xdr:colOff>
      <xdr:row>20</xdr:row>
      <xdr:rowOff>141112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2E3DD5-47F2-8CD3-E44B-8D8EDC7CB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495" t="23516" r="37105" b="20923"/>
        <a:stretch>
          <a:fillRect/>
        </a:stretch>
      </xdr:blipFill>
      <xdr:spPr>
        <a:xfrm>
          <a:off x="8960555" y="1864683"/>
          <a:ext cx="2207382" cy="2429127"/>
        </a:xfrm>
        <a:prstGeom prst="rect">
          <a:avLst/>
        </a:prstGeom>
      </xdr:spPr>
    </xdr:pic>
    <xdr:clientData/>
  </xdr:twoCellAnchor>
  <xdr:twoCellAnchor editAs="oneCell">
    <xdr:from>
      <xdr:col>15</xdr:col>
      <xdr:colOff>118139</xdr:colOff>
      <xdr:row>3</xdr:row>
      <xdr:rowOff>132907</xdr:rowOff>
    </xdr:from>
    <xdr:to>
      <xdr:col>23</xdr:col>
      <xdr:colOff>817525</xdr:colOff>
      <xdr:row>38</xdr:row>
      <xdr:rowOff>167758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5446DD-5B8B-BBD5-3C62-01CBDC5F5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22790" y="767907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5</xdr:col>
      <xdr:colOff>339651</xdr:colOff>
      <xdr:row>33</xdr:row>
      <xdr:rowOff>88605</xdr:rowOff>
    </xdr:from>
    <xdr:to>
      <xdr:col>14</xdr:col>
      <xdr:colOff>669261</xdr:colOff>
      <xdr:row>54</xdr:row>
      <xdr:rowOff>118952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01AD090-2879-E94A-AD08-A8303ED9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4535" y="6970233"/>
          <a:ext cx="7772400" cy="437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14FC-C8B4-8540-9586-F68B6CE72D00}">
  <dimension ref="A2:N28"/>
  <sheetViews>
    <sheetView showGridLines="0" tabSelected="1" zoomScale="86" workbookViewId="0">
      <selection activeCell="N29" sqref="N29"/>
    </sheetView>
  </sheetViews>
  <sheetFormatPr baseColWidth="10" defaultRowHeight="16"/>
  <sheetData>
    <row r="2" spans="1:14">
      <c r="A2" s="1"/>
      <c r="B2" s="5" t="s">
        <v>0</v>
      </c>
      <c r="C2" s="5" t="s">
        <v>1</v>
      </c>
      <c r="D2" s="5" t="s">
        <v>2</v>
      </c>
      <c r="E2" s="5" t="s">
        <v>5</v>
      </c>
    </row>
    <row r="3" spans="1:14" ht="18">
      <c r="A3" s="3" t="s">
        <v>3</v>
      </c>
      <c r="B3" s="3">
        <v>40</v>
      </c>
      <c r="C3" s="3">
        <v>15</v>
      </c>
      <c r="D3" s="3">
        <v>10</v>
      </c>
      <c r="E3" s="4">
        <f>SUM(B3:D3)</f>
        <v>65</v>
      </c>
      <c r="G3" s="2" t="s">
        <v>6</v>
      </c>
    </row>
    <row r="4" spans="1:14">
      <c r="A4" s="3" t="s">
        <v>4</v>
      </c>
      <c r="B4" s="3">
        <v>20</v>
      </c>
      <c r="C4" s="3">
        <v>35</v>
      </c>
      <c r="D4" s="3">
        <v>25</v>
      </c>
      <c r="E4" s="4">
        <f>SUM(B4:D4)</f>
        <v>80</v>
      </c>
      <c r="K4" s="18" t="s">
        <v>28</v>
      </c>
      <c r="L4" s="18"/>
      <c r="M4" s="18"/>
      <c r="N4" s="18"/>
    </row>
    <row r="5" spans="1:14">
      <c r="A5" s="4" t="s">
        <v>5</v>
      </c>
      <c r="B5" s="4">
        <f>SUM(B3:B4)</f>
        <v>60</v>
      </c>
      <c r="C5" s="4">
        <f>SUM(C3:C4)</f>
        <v>50</v>
      </c>
      <c r="D5" s="4">
        <f>SUM(D3:D4)</f>
        <v>35</v>
      </c>
      <c r="E5" s="4">
        <f>SUM(B3:D4)</f>
        <v>145</v>
      </c>
      <c r="K5" s="14"/>
      <c r="L5" s="14" t="s">
        <v>10</v>
      </c>
      <c r="M5" s="14" t="s">
        <v>11</v>
      </c>
      <c r="N5" s="14" t="s">
        <v>12</v>
      </c>
    </row>
    <row r="6" spans="1:14">
      <c r="K6" s="15" t="s">
        <v>10</v>
      </c>
      <c r="L6" s="15">
        <v>0</v>
      </c>
      <c r="M6" s="15"/>
      <c r="N6" s="15"/>
    </row>
    <row r="7" spans="1:14">
      <c r="B7" s="5" t="s">
        <v>0</v>
      </c>
      <c r="C7" s="5" t="s">
        <v>1</v>
      </c>
      <c r="D7" s="5" t="s">
        <v>2</v>
      </c>
      <c r="E7" s="5" t="s">
        <v>5</v>
      </c>
      <c r="K7" s="15" t="s">
        <v>11</v>
      </c>
      <c r="L7" s="15" t="s">
        <v>25</v>
      </c>
      <c r="M7" s="15">
        <v>0</v>
      </c>
      <c r="N7" s="15"/>
    </row>
    <row r="8" spans="1:14" ht="18">
      <c r="A8" s="3" t="s">
        <v>3</v>
      </c>
      <c r="B8" s="6">
        <f>B3/$E$3</f>
        <v>0.61538461538461542</v>
      </c>
      <c r="C8" s="6">
        <f>C3/$E$3</f>
        <v>0.23076923076923078</v>
      </c>
      <c r="D8" s="6">
        <f>D3/$E$3</f>
        <v>0.15384615384615385</v>
      </c>
      <c r="E8" s="6">
        <f>SUM(B8:D8)</f>
        <v>1</v>
      </c>
      <c r="G8" s="2" t="s">
        <v>7</v>
      </c>
      <c r="K8" s="15" t="s">
        <v>12</v>
      </c>
      <c r="L8" s="15" t="s">
        <v>26</v>
      </c>
      <c r="M8" s="15" t="s">
        <v>27</v>
      </c>
      <c r="N8" s="15">
        <v>0</v>
      </c>
    </row>
    <row r="9" spans="1:14">
      <c r="A9" s="3" t="s">
        <v>4</v>
      </c>
      <c r="B9" s="6">
        <f>B4/$E$4</f>
        <v>0.25</v>
      </c>
      <c r="C9" s="6">
        <f>C4/$E$4</f>
        <v>0.4375</v>
      </c>
      <c r="D9" s="6">
        <f>D4/$E$4</f>
        <v>0.3125</v>
      </c>
      <c r="E9" s="6">
        <f>SUM(B9:D9)</f>
        <v>1</v>
      </c>
    </row>
    <row r="10" spans="1:14">
      <c r="A10" s="4" t="s">
        <v>5</v>
      </c>
      <c r="B10" s="6">
        <f>B5/$E$5</f>
        <v>0.41379310344827586</v>
      </c>
      <c r="C10" s="6">
        <f>C5/$E$5</f>
        <v>0.34482758620689657</v>
      </c>
      <c r="D10" s="6">
        <f>D5/$E$5</f>
        <v>0.2413793103448276</v>
      </c>
      <c r="E10" s="6">
        <f>SUM(B10:D10)</f>
        <v>1</v>
      </c>
    </row>
    <row r="12" spans="1:14">
      <c r="B12" s="5" t="s">
        <v>0</v>
      </c>
      <c r="C12" s="5" t="s">
        <v>1</v>
      </c>
      <c r="D12" s="5" t="s">
        <v>2</v>
      </c>
      <c r="E12" s="5" t="s">
        <v>5</v>
      </c>
    </row>
    <row r="13" spans="1:14" ht="18">
      <c r="A13" s="3" t="s">
        <v>3</v>
      </c>
      <c r="B13" s="6">
        <f>B3/B$5</f>
        <v>0.66666666666666663</v>
      </c>
      <c r="C13" s="6">
        <f t="shared" ref="C13:E13" si="0">C3/C$5</f>
        <v>0.3</v>
      </c>
      <c r="D13" s="6">
        <f t="shared" si="0"/>
        <v>0.2857142857142857</v>
      </c>
      <c r="E13" s="6">
        <f t="shared" si="0"/>
        <v>0.44827586206896552</v>
      </c>
      <c r="G13" s="2" t="s">
        <v>8</v>
      </c>
    </row>
    <row r="14" spans="1:14">
      <c r="A14" s="3" t="s">
        <v>4</v>
      </c>
      <c r="B14" s="6">
        <f t="shared" ref="B14:E14" si="1">B4/B$5</f>
        <v>0.33333333333333331</v>
      </c>
      <c r="C14" s="6">
        <f t="shared" si="1"/>
        <v>0.7</v>
      </c>
      <c r="D14" s="6">
        <f t="shared" si="1"/>
        <v>0.7142857142857143</v>
      </c>
      <c r="E14" s="6">
        <f t="shared" si="1"/>
        <v>0.55172413793103448</v>
      </c>
    </row>
    <row r="15" spans="1:14">
      <c r="A15" s="4" t="s">
        <v>5</v>
      </c>
      <c r="B15" s="6">
        <f t="shared" ref="B15:E15" si="2">B5/B$5</f>
        <v>1</v>
      </c>
      <c r="C15" s="6">
        <f t="shared" si="2"/>
        <v>1</v>
      </c>
      <c r="D15" s="6">
        <f t="shared" si="2"/>
        <v>1</v>
      </c>
      <c r="E15" s="6">
        <f t="shared" si="2"/>
        <v>1</v>
      </c>
    </row>
    <row r="17" spans="2:10" ht="18">
      <c r="B17" s="18" t="s">
        <v>24</v>
      </c>
      <c r="C17" s="18"/>
      <c r="D17" s="18"/>
      <c r="E17" s="18"/>
      <c r="G17" s="2" t="s">
        <v>9</v>
      </c>
    </row>
    <row r="18" spans="2:10">
      <c r="B18" s="7" t="s">
        <v>10</v>
      </c>
      <c r="C18" s="7" t="s">
        <v>11</v>
      </c>
      <c r="D18" s="7" t="s">
        <v>12</v>
      </c>
      <c r="E18" s="7" t="s">
        <v>5</v>
      </c>
    </row>
    <row r="19" spans="2:10">
      <c r="B19" s="8">
        <f>(B8-B9)^2/B10</f>
        <v>0.3226392998027614</v>
      </c>
      <c r="C19" s="8">
        <f>(C8-C9)^2/C10</f>
        <v>0.12393907174556211</v>
      </c>
      <c r="D19" s="8">
        <f>(D8-D9)^2/D10</f>
        <v>0.10428003486897716</v>
      </c>
      <c r="E19" s="9">
        <f>SUM(B19:D19)</f>
        <v>0.55085840641730066</v>
      </c>
    </row>
    <row r="21" spans="2:10">
      <c r="B21" s="10" t="s">
        <v>14</v>
      </c>
      <c r="C21" s="11">
        <f>E19</f>
        <v>0.55085840641730066</v>
      </c>
    </row>
    <row r="22" spans="2:10">
      <c r="B22" s="10" t="s">
        <v>13</v>
      </c>
      <c r="C22" s="11">
        <f>E19^(1/2)</f>
        <v>0.74219836055956134</v>
      </c>
    </row>
    <row r="24" spans="2:10">
      <c r="F24" s="13"/>
      <c r="G24" s="14" t="s">
        <v>15</v>
      </c>
      <c r="H24" s="14" t="s">
        <v>16</v>
      </c>
      <c r="I24" s="14" t="s">
        <v>17</v>
      </c>
      <c r="J24" s="14" t="s">
        <v>10</v>
      </c>
    </row>
    <row r="25" spans="2:10">
      <c r="B25" s="12"/>
      <c r="C25" s="17" t="s">
        <v>15</v>
      </c>
      <c r="D25" s="17" t="s">
        <v>16</v>
      </c>
      <c r="F25" s="16" t="s">
        <v>15</v>
      </c>
      <c r="G25" s="15">
        <v>0</v>
      </c>
      <c r="H25" s="15"/>
      <c r="I25" s="15"/>
      <c r="J25" s="15"/>
    </row>
    <row r="26" spans="2:10">
      <c r="B26" s="17" t="s">
        <v>15</v>
      </c>
      <c r="C26" s="8">
        <v>0</v>
      </c>
      <c r="D26" s="8">
        <f>C22</f>
        <v>0.74219836055956134</v>
      </c>
      <c r="F26" s="16" t="s">
        <v>16</v>
      </c>
      <c r="G26" s="15" t="s">
        <v>18</v>
      </c>
      <c r="H26" s="15">
        <v>0</v>
      </c>
      <c r="I26" s="15"/>
      <c r="J26" s="15"/>
    </row>
    <row r="27" spans="2:10">
      <c r="B27" s="17" t="s">
        <v>16</v>
      </c>
      <c r="C27" s="8">
        <f>C22</f>
        <v>0.74219836055956134</v>
      </c>
      <c r="D27" s="8">
        <v>0</v>
      </c>
      <c r="F27" s="16" t="s">
        <v>17</v>
      </c>
      <c r="G27" s="15" t="s">
        <v>19</v>
      </c>
      <c r="H27" s="15" t="s">
        <v>21</v>
      </c>
      <c r="I27" s="15">
        <v>0</v>
      </c>
      <c r="J27" s="15"/>
    </row>
    <row r="28" spans="2:10">
      <c r="F28" s="16" t="s">
        <v>10</v>
      </c>
      <c r="G28" s="15" t="s">
        <v>20</v>
      </c>
      <c r="H28" s="15" t="s">
        <v>22</v>
      </c>
      <c r="I28" s="15" t="s">
        <v>23</v>
      </c>
      <c r="J28" s="15">
        <v>0</v>
      </c>
    </row>
  </sheetData>
  <mergeCells count="2">
    <mergeCell ref="B17:E17"/>
    <mergeCell ref="K4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Vargas</dc:creator>
  <cp:lastModifiedBy>Antony Vargas</cp:lastModifiedBy>
  <dcterms:created xsi:type="dcterms:W3CDTF">2026-05-09T19:33:25Z</dcterms:created>
  <dcterms:modified xsi:type="dcterms:W3CDTF">2026-05-09T20:28:51Z</dcterms:modified>
</cp:coreProperties>
</file>